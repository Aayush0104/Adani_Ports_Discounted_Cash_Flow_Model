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mt" sheetId="3" state="visible" r:id="rId5"/>
    <sheet name="DCF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<sst xmlns="http://schemas.openxmlformats.org/spreadsheetml/2006/main" count="166" uniqueCount="147">
  <si>
    <t xml:space="preserve">ADANI PORTS &amp; SEZ LTD (APSEZ)</t>
  </si>
  <si>
    <t xml:space="preserve">Discounted Cash Flow Valuation Model  |  NSE: ADANIPORTS</t>
  </si>
  <si>
    <t xml:space="preserve">Analyst</t>
  </si>
  <si>
    <t xml:space="preserve">Aayush Garg</t>
  </si>
  <si>
    <t xml:space="preserve">Model Date</t>
  </si>
  <si>
    <t xml:space="preserve">May 2026</t>
  </si>
  <si>
    <t xml:space="preserve">Currency</t>
  </si>
  <si>
    <t xml:space="preserve">INR (₹ Crores)</t>
  </si>
  <si>
    <t xml:space="preserve">Fiscal Year End</t>
  </si>
  <si>
    <t xml:space="preserve">March 31</t>
  </si>
  <si>
    <t xml:space="preserve">Ticker</t>
  </si>
  <si>
    <t xml:space="preserve">ADANIPORTS | BSE: 532921</t>
  </si>
  <si>
    <t xml:space="preserve">Data Source</t>
  </si>
  <si>
    <t xml:space="preserve">Screener.in, BSE Filings, Annual Reports</t>
  </si>
  <si>
    <t xml:space="preserve">Model Overview</t>
  </si>
  <si>
    <t xml:space="preserve">Cover</t>
  </si>
  <si>
    <t xml:space="preserve">Model overview and navigation</t>
  </si>
  <si>
    <t xml:space="preserve">Assumptions</t>
  </si>
  <si>
    <t xml:space="preserve">WACC, growth rates, and key drivers</t>
  </si>
  <si>
    <t xml:space="preserve">Income Stmt</t>
  </si>
  <si>
    <t xml:space="preserve">Historical P&amp;L (FY20–FY25)</t>
  </si>
  <si>
    <t xml:space="preserve">DCF</t>
  </si>
  <si>
    <t xml:space="preserve">5-year FCF projection + terminal value + valuation</t>
  </si>
  <si>
    <t xml:space="preserve">Sensitivity</t>
  </si>
  <si>
    <t xml:space="preserve">WACC × TGR sensitivity table on implied share price</t>
  </si>
  <si>
    <t xml:space="preserve">Color Key</t>
  </si>
  <si>
    <t xml:space="preserve">■</t>
  </si>
  <si>
    <t xml:space="preserve">Blue  — Hardcoded inputs (change these for scenarios)</t>
  </si>
  <si>
    <t xml:space="preserve">Black — Formulas / calculated values</t>
  </si>
  <si>
    <t xml:space="preserve">Green — Cross-sheet links</t>
  </si>
  <si>
    <t xml:space="preserve">Red   — External data sources</t>
  </si>
  <si>
    <t xml:space="preserve">WACC ASSUMPTIONS</t>
  </si>
  <si>
    <t xml:space="preserve">Risk-Free Rate (10Y G-Sec)</t>
  </si>
  <si>
    <t xml:space="preserve">Source: RBI, May 2026</t>
  </si>
  <si>
    <t xml:space="preserve">Equity Risk Premium (India)</t>
  </si>
  <si>
    <t xml:space="preserve">Source: Damodaran, Jan 2026</t>
  </si>
  <si>
    <t xml:space="preserve">Beta (5Y Monthly vs Nifty 50)</t>
  </si>
  <si>
    <t xml:space="preserve">Source: NSE / Screener.in</t>
  </si>
  <si>
    <t xml:space="preserve">Cost of Equity  [RFR + β×ERP]</t>
  </si>
  <si>
    <t xml:space="preserve">Pre-tax Cost of Debt</t>
  </si>
  <si>
    <t xml:space="preserve">Source: APSEZ Bonds / CRISIL AA</t>
  </si>
  <si>
    <t xml:space="preserve">Tax Rate</t>
  </si>
  <si>
    <t xml:space="preserve">Source: FY24-25 avg effective rate</t>
  </si>
  <si>
    <t xml:space="preserve">After-tax Cost of Debt</t>
  </si>
  <si>
    <t xml:space="preserve">Market Cap (₹ Cr)</t>
  </si>
  <si>
    <t xml:space="preserve">Source: NSE, May 2026</t>
  </si>
  <si>
    <t xml:space="preserve">Total Debt (₹ Cr)</t>
  </si>
  <si>
    <t xml:space="preserve">Source: Balance Sheet Mar-25</t>
  </si>
  <si>
    <t xml:space="preserve">Weight of Equity</t>
  </si>
  <si>
    <t xml:space="preserve">Weight of Debt</t>
  </si>
  <si>
    <t xml:space="preserve">WACC</t>
  </si>
  <si>
    <t xml:space="preserve">PROJECTION ASSUMPTIONS  (FY26E–FY30E)</t>
  </si>
  <si>
    <t xml:space="preserve">Revenue Growth — Ports Segment</t>
  </si>
  <si>
    <t xml:space="preserve">Mgmt guidance ~400 MMT by FY28; ~14% CAGR</t>
  </si>
  <si>
    <t xml:space="preserve">Revenue Growth — Logistics</t>
  </si>
  <si>
    <t xml:space="preserve">Rail + MMLP ramp; management guidance</t>
  </si>
  <si>
    <t xml:space="preserve">Blended Revenue Growth (yr 1-3)</t>
  </si>
  <si>
    <t xml:space="preserve">Revenue Growth (yr 4-5)</t>
  </si>
  <si>
    <t xml:space="preserve">Tapering to long-run India GDP+</t>
  </si>
  <si>
    <t xml:space="preserve">EBITDA Margin</t>
  </si>
  <si>
    <t xml:space="preserve">Source: FY25 actual 60%; held flat</t>
  </si>
  <si>
    <t xml:space="preserve">D&amp;A % of Revenue</t>
  </si>
  <si>
    <t xml:space="preserve">Source: FY25 D&amp;A/Rev avg</t>
  </si>
  <si>
    <t xml:space="preserve">CapEx % of Revenue</t>
  </si>
  <si>
    <t xml:space="preserve">Infra-heavy; mgmt capex ₹6,500 Cr/yr avg</t>
  </si>
  <si>
    <t xml:space="preserve">Change in Working Capital % Rev</t>
  </si>
  <si>
    <t xml:space="preserve">Negative WC = cash inflow; hist avg</t>
  </si>
  <si>
    <t xml:space="preserve">Terminal Growth Rate</t>
  </si>
  <si>
    <t xml:space="preserve">India nominal GDP growth long-run</t>
  </si>
  <si>
    <t xml:space="preserve">Shares Outstanding (Cr)</t>
  </si>
  <si>
    <t xml:space="preserve">Source: NSE Mar-25</t>
  </si>
  <si>
    <t xml:space="preserve">Cash &amp; Equivalents (₹ Cr)</t>
  </si>
  <si>
    <t xml:space="preserve">Minority Interest (₹ Cr)</t>
  </si>
  <si>
    <t xml:space="preserve">Estimated from consol. financials</t>
  </si>
  <si>
    <t xml:space="preserve">ADANI PORTS &amp; SEZ — CONSOLIDATED P&amp;L  (₹ Crores)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</si>
  <si>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</si>
  <si>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</si>
  <si>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</si>
  <si>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</si>
  <si>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</si>
  <si>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</si>
  <si>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 (₹ Cr)</t>
  </si>
  <si>
    <t xml:space="preserve">  % Growth</t>
  </si>
  <si>
    <t xml:space="preserve">Operating Expenses</t>
  </si>
  <si>
    <t xml:space="preserve">EBITDA</t>
  </si>
  <si>
    <t xml:space="preserve">  EBITDA Margin</t>
  </si>
  <si>
    <t xml:space="preserve">Depreciation &amp; Amort.</t>
  </si>
  <si>
    <t xml:space="preserve">EBIT</t>
  </si>
  <si>
    <t xml:space="preserve">  EBIT Margin</t>
  </si>
  <si>
    <t xml:space="preserve">Interest Expense</t>
  </si>
  <si>
    <t xml:space="preserve">Other Income</t>
  </si>
  <si>
    <t xml:space="preserve">PBT</t>
  </si>
  <si>
    <t xml:space="preserve">Tax</t>
  </si>
  <si>
    <t xml:space="preserve">Net Profit</t>
  </si>
  <si>
    <t xml:space="preserve">  Net Margin</t>
  </si>
  <si>
    <t xml:space="preserve">KEY METRICS</t>
  </si>
  <si>
    <t xml:space="preserve">EPS (₹)</t>
  </si>
  <si>
    <t xml:space="preserve">ROCE %</t>
  </si>
  <si>
    <t xml:space="preserve">ROE %</t>
  </si>
  <si>
    <t xml:space="preserve">Debt/EBITDA</t>
  </si>
  <si>
    <t xml:space="preserve">REVENUE &amp; EBITDA BUILD  (₹ Crores)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</si>
  <si>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</si>
  <si>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</si>
  <si>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</si>
  <si>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</si>
  <si>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</si>
  <si>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</si>
  <si>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CORRECTED: was =Income Stmt!G9 (EBIT). Now correctly references EBITDA (G6). [Error 3]</t>
  </si>
  <si>
    <t xml:space="preserve">CORRECTED: was =Income Stmt!G11 (Interest Expense). Now correctly references D&amp;A (G8). [Error 2]</t>
  </si>
  <si>
    <t xml:space="preserve">  Taxes on EBIT</t>
  </si>
  <si>
    <t xml:space="preserve">EBIAT  (EBIT after tax)</t>
  </si>
  <si>
    <t xml:space="preserve">Capital Expenditure</t>
  </si>
  <si>
    <t xml:space="preserve">CORRECTED: was =B3*22% (projection formula). FY25A actual CapEx ₹6,000 Cr. Source: APSEZ FY25 Cash Flow Statement, BSE Filing. [Error 6]</t>
  </si>
  <si>
    <t xml:space="preserve">Change in Working Capital</t>
  </si>
  <si>
    <t xml:space="preserve">CORRECTED: was =B3*-3% (projection formula). FY25A actual ΔWC ₹-500 Cr. Source: APSEZ FY25 Cash Flow Statement, BSE Filing. [Error 6]</t>
  </si>
  <si>
    <t xml:space="preserve">Unlevered Free Cash Flow</t>
  </si>
  <si>
    <t xml:space="preserve">DISCOUNTING &amp; TERMINAL VALUE</t>
  </si>
  <si>
    <t xml:space="preserve">Discount Period (mid-year)</t>
  </si>
  <si>
    <t xml:space="preserve">Discount Factor</t>
  </si>
  <si>
    <t xml:space="preserve">PV of UFCF</t>
  </si>
  <si>
    <t xml:space="preserve">Terminal Value (Gordon Growth)</t>
  </si>
  <si>
    <t xml:space="preserve">PV of Terminal Value</t>
  </si>
  <si>
    <t xml:space="preserve">CORRECTED: was =B21/G18 (divided = inflated TV). Now =B21/(1+WACC)^5 for correct year-end discounting. [Errors 1 &amp; New A]</t>
  </si>
  <si>
    <t xml:space="preserve">Sum of PV (FCF)</t>
  </si>
  <si>
    <t xml:space="preserve">Enterprise Value (₹ Cr)</t>
  </si>
  <si>
    <t xml:space="preserve">(+) Cash &amp; Equivalents</t>
  </si>
  <si>
    <t xml:space="preserve">(-) Total Debt</t>
  </si>
  <si>
    <t xml:space="preserve">(-) Minority Interest</t>
  </si>
  <si>
    <t xml:space="preserve">Equity Value (₹ Cr)</t>
  </si>
  <si>
    <t xml:space="preserve">Implied Share Price (₹)</t>
  </si>
  <si>
    <t xml:space="preserve">Current Market Price (₹)</t>
  </si>
  <si>
    <t xml:space="preserve">Upside / (Downside)</t>
  </si>
  <si>
    <t xml:space="preserve">SENSITIVITY: IMPLIED SHARE PRICE (₹)  —  WACC  ×  Terminal Growth Rate</t>
  </si>
  <si>
    <t xml:space="preserve">WACC \ TGR</t>
  </si>
  <si>
    <t xml:space="preserve">4.5%</t>
  </si>
  <si>
    <t xml:space="preserve">5.0%</t>
  </si>
  <si>
    <t xml:space="preserve">5.5%</t>
  </si>
  <si>
    <t xml:space="preserve">6.0%</t>
  </si>
  <si>
    <t xml:space="preserve">6.5%</t>
  </si>
  <si>
    <t xml:space="preserve">9.0%</t>
  </si>
  <si>
    <t xml:space="preserve">9.5%</t>
  </si>
  <si>
    <t xml:space="preserve">10.0%</t>
  </si>
  <si>
    <t xml:space="preserve">10.5%</t>
  </si>
  <si>
    <t xml:space="preserve">11.0%</t>
  </si>
  <si>
    <t xml:space="preserve">11.5%</t>
  </si>
  <si>
    <t xml:space="preserve">Note: Yellow = base case (WACC 11.5%, TGR 5.5%) — model WACC = 11.48%; 12.0% row in row 11 below</t>
  </si>
  <si>
    <t xml:space="preserve">12.0%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</si>
</sst>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"/>
    <numFmt numFmtId="167" formatCode="0.0%"/>
    <numFmt numFmtId="168" formatCode="#,##0;\(#,##0\);\-"/>
    <numFmt numFmtId="169" formatCode="0.0\x"/>
    <numFmt numFmtId="170" formatCode="0.0"/>
    <numFmt numFmtId="171" formatCode="0.000"/>
    <numFmt numFmtId="172" formatCode="#,##0.0"/>
    <numFmt numFmtId="173" formatCode="\₹#,##0.00"/>
    <numFmt numFmtId="174" formatCode="0.0%;\(0.0%\)"/>
    <numFmt numFmtId="175" formatCode="\₹#,##0"/>
    <numFmt numFmtId="176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A3C5E"/>
      <name val="Arial"/>
      <family val="0"/>
      <charset val="1"/>
    </font>
    <font>
      <sz val="12"/>
      <color rgb="FF555555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4"/>
      <color rgb="FF0000FF"/>
      <name val="Arial"/>
      <family val="0"/>
      <charset val="1"/>
    </font>
    <font>
      <sz val="14"/>
      <color rgb="FF000000"/>
      <name val="Arial"/>
      <family val="0"/>
      <charset val="1"/>
    </font>
    <font>
      <sz val="14"/>
      <color rgb="FF008000"/>
      <name val="Arial"/>
      <family val="0"/>
      <charset val="1"/>
    </font>
    <font>
      <sz val="14"/>
      <color rgb="FFF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888888"/>
      <name val="Arial"/>
      <family val="0"/>
      <charset val="1"/>
    </font>
    <font>
      <sz val="11"/>
      <color rgb="FF0000FF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A3C5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52"/>
  </cols>
  <sheetData>
    <row r="2" customFormat="false" ht="39.75" hidden="false" customHeight="true" outlineLevel="0" collapsed="false">
      <c r="B2" s="2" t="s">
        <v>0</v>
      </c>
      <c r="C2" s="2"/>
    </row>
    <row r="3" customFormat="false" ht="15" hidden="false" customHeight="true" outlineLevel="0" collapsed="false">
      <c r="B3" s="3" t="s">
        <v>1</v>
      </c>
      <c r="C3" s="3"/>
    </row>
    <row r="4" customFormat="false" ht="3.75" hidden="false" customHeight="true" outlineLevel="0" collapsed="false">
      <c r="B4" s="4"/>
      <c r="C4" s="4"/>
    </row>
    <row r="6" customFormat="false" ht="15" hidden="false" customHeight="true" outlineLevel="0" collapsed="false">
      <c r="B6" s="5" t="s">
        <v>2</v>
      </c>
      <c r="C6" s="6" t="s">
        <v>3</v>
      </c>
    </row>
    <row r="7" customFormat="false" ht="15" hidden="false" customHeight="true" outlineLevel="0" collapsed="false">
      <c r="B7" s="5" t="s">
        <v>4</v>
      </c>
      <c r="C7" s="6" t="s">
        <v>5</v>
      </c>
    </row>
    <row r="8" customFormat="false" ht="15" hidden="false" customHeight="true" outlineLevel="0" collapsed="false">
      <c r="B8" s="5" t="s">
        <v>6</v>
      </c>
      <c r="C8" s="6" t="s">
        <v>7</v>
      </c>
    </row>
    <row r="9" customFormat="false" ht="15" hidden="false" customHeight="true" outlineLevel="0" collapsed="false">
      <c r="B9" s="5" t="s">
        <v>8</v>
      </c>
      <c r="C9" s="6" t="s">
        <v>9</v>
      </c>
    </row>
    <row r="10" customFormat="false" ht="15" hidden="false" customHeight="true" outlineLevel="0" collapsed="false">
      <c r="B10" s="5" t="s">
        <v>10</v>
      </c>
      <c r="C10" s="6" t="s">
        <v>11</v>
      </c>
    </row>
    <row r="11" customFormat="false" ht="15" hidden="false" customHeight="true" outlineLevel="0" collapsed="false">
      <c r="B11" s="5" t="s">
        <v>12</v>
      </c>
      <c r="C11" s="6" t="s">
        <v>13</v>
      </c>
    </row>
    <row r="13" customFormat="false" ht="6" hidden="false" customHeight="true" outlineLevel="0" collapsed="false"/>
    <row r="14" customFormat="false" ht="15" hidden="false" customHeight="true" outlineLevel="0" collapsed="false">
      <c r="B14" s="7" t="s">
        <v>14</v>
      </c>
      <c r="C14" s="7"/>
    </row>
    <row r="15" customFormat="false" ht="15" hidden="false" customHeight="true" outlineLevel="0" collapsed="false">
      <c r="B15" s="8" t="s">
        <v>15</v>
      </c>
      <c r="C15" s="6" t="s">
        <v>16</v>
      </c>
    </row>
    <row r="16" customFormat="false" ht="15" hidden="false" customHeight="true" outlineLevel="0" collapsed="false">
      <c r="B16" s="8" t="s">
        <v>17</v>
      </c>
      <c r="C16" s="6" t="s">
        <v>18</v>
      </c>
    </row>
    <row r="17" customFormat="false" ht="15" hidden="false" customHeight="true" outlineLevel="0" collapsed="false">
      <c r="B17" s="8" t="s">
        <v>19</v>
      </c>
      <c r="C17" s="6" t="s">
        <v>20</v>
      </c>
    </row>
    <row r="18" customFormat="false" ht="15" hidden="false" customHeight="true" outlineLevel="0" collapsed="false">
      <c r="B18" s="8" t="s">
        <v>21</v>
      </c>
      <c r="C18" s="6" t="s">
        <v>22</v>
      </c>
    </row>
    <row r="19" customFormat="false" ht="15" hidden="false" customHeight="true" outlineLevel="0" collapsed="false">
      <c r="B19" s="8" t="s">
        <v>23</v>
      </c>
      <c r="C19" s="6" t="s">
        <v>24</v>
      </c>
    </row>
    <row r="22" customFormat="false" ht="15" hidden="false" customHeight="true" outlineLevel="0" collapsed="false">
      <c r="B22" s="7" t="s">
        <v>25</v>
      </c>
      <c r="C22" s="7"/>
    </row>
    <row r="23" customFormat="false" ht="17.25" hidden="false" customHeight="true" outlineLevel="0" collapsed="false">
      <c r="B23" s="9" t="s">
        <v>26</v>
      </c>
      <c r="C23" s="6" t="s">
        <v>27</v>
      </c>
    </row>
    <row r="24" customFormat="false" ht="17.25" hidden="false" customHeight="true" outlineLevel="0" collapsed="false">
      <c r="B24" s="10" t="s">
        <v>26</v>
      </c>
      <c r="C24" s="6" t="s">
        <v>28</v>
      </c>
    </row>
    <row r="25" customFormat="false" ht="17.25" hidden="false" customHeight="true" outlineLevel="0" collapsed="false">
      <c r="B25" s="11" t="s">
        <v>26</v>
      </c>
      <c r="C25" s="6" t="s">
        <v>29</v>
      </c>
    </row>
    <row r="26" customFormat="false" ht="17.25" hidden="false" customHeight="true" outlineLevel="0" collapsed="false">
      <c r="B26" s="12" t="s">
        <v>26</v>
      </c>
      <c r="C26" s="6" t="s">
        <v>30</v>
      </c>
    </row>
  </sheetData>
  <mergeCells count="4">
    <mergeCell ref="B2:C2"/>
    <mergeCell ref="B3:C3"/>
    <mergeCell ref="B14:C14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36"/>
  </cols>
  <sheetData>
    <row r="1" customFormat="false" ht="15" hidden="false" customHeight="true" outlineLevel="0" collapsed="false">
      <c r="A1" s="13" t="s">
        <v>31</v>
      </c>
      <c r="B1" s="13"/>
      <c r="C1" s="13"/>
    </row>
    <row r="2" customFormat="false" ht="15" hidden="false" customHeight="true" outlineLevel="0" collapsed="false">
      <c r="A2" s="14" t="s">
        <v>32</v>
      </c>
      <c r="B2" s="15" t="n">
        <v>0.0718</v>
      </c>
      <c r="C2" s="16" t="s">
        <v>33</v>
      </c>
    </row>
    <row r="3" customFormat="false" ht="15" hidden="false" customHeight="true" outlineLevel="0" collapsed="false">
      <c r="A3" s="14" t="s">
        <v>34</v>
      </c>
      <c r="B3" s="15" t="n">
        <v>0.06</v>
      </c>
      <c r="C3" s="16" t="s">
        <v>35</v>
      </c>
    </row>
    <row r="4" customFormat="false" ht="15" hidden="false" customHeight="true" outlineLevel="0" collapsed="false">
      <c r="A4" s="14" t="s">
        <v>36</v>
      </c>
      <c r="B4" s="15" t="n">
        <v>0.85</v>
      </c>
      <c r="C4" s="16" t="s">
        <v>37</v>
      </c>
    </row>
    <row r="5" customFormat="false" ht="15" hidden="false" customHeight="true" outlineLevel="0" collapsed="false">
      <c r="A5" s="14" t="s">
        <v>38</v>
      </c>
      <c r="B5" s="17" t="n">
        <f aca="false">B2+B4*B3</f>
        <v>0.1228</v>
      </c>
    </row>
    <row r="6" customFormat="false" ht="15" hidden="false" customHeight="true" outlineLevel="0" collapsed="false">
      <c r="A6" s="14" t="s">
        <v>39</v>
      </c>
      <c r="B6" s="15" t="n">
        <v>0.0785</v>
      </c>
      <c r="C6" s="16" t="s">
        <v>40</v>
      </c>
    </row>
    <row r="7" customFormat="false" ht="15" hidden="false" customHeight="true" outlineLevel="0" collapsed="false">
      <c r="A7" s="14" t="s">
        <v>41</v>
      </c>
      <c r="B7" s="15" t="n">
        <v>0.15</v>
      </c>
      <c r="C7" s="16" t="s">
        <v>42</v>
      </c>
    </row>
    <row r="8" customFormat="false" ht="15" hidden="false" customHeight="true" outlineLevel="0" collapsed="false">
      <c r="A8" s="14" t="s">
        <v>43</v>
      </c>
      <c r="B8" s="17" t="n">
        <f aca="false">B6*(1-B7)</f>
        <v>0.066725</v>
      </c>
    </row>
    <row r="9" customFormat="false" ht="15" hidden="false" customHeight="true" outlineLevel="0" collapsed="false">
      <c r="A9" s="14" t="s">
        <v>44</v>
      </c>
      <c r="B9" s="18" t="n">
        <v>309674</v>
      </c>
      <c r="C9" s="16" t="s">
        <v>45</v>
      </c>
    </row>
    <row r="10" customFormat="false" ht="15" hidden="false" customHeight="true" outlineLevel="0" collapsed="false">
      <c r="A10" s="14" t="s">
        <v>46</v>
      </c>
      <c r="B10" s="18" t="n">
        <v>51621</v>
      </c>
      <c r="C10" s="16" t="s">
        <v>47</v>
      </c>
    </row>
    <row r="11" customFormat="false" ht="15" hidden="false" customHeight="true" outlineLevel="0" collapsed="false">
      <c r="A11" s="14" t="s">
        <v>48</v>
      </c>
      <c r="B11" s="17" t="n">
        <f aca="false">B9/(B9+B10)</f>
        <v>0.857122296184558</v>
      </c>
    </row>
    <row r="12" customFormat="false" ht="15" hidden="false" customHeight="true" outlineLevel="0" collapsed="false">
      <c r="A12" s="14" t="s">
        <v>49</v>
      </c>
      <c r="B12" s="17" t="n">
        <f aca="false">B10/(B9+B10)</f>
        <v>0.142877703815442</v>
      </c>
    </row>
    <row r="13" customFormat="false" ht="15" hidden="false" customHeight="true" outlineLevel="0" collapsed="false">
      <c r="A13" s="14" t="s">
        <v>50</v>
      </c>
      <c r="B13" s="19" t="n">
        <f aca="false">B11*B5+B12*B8</f>
        <v>0.114788132758549</v>
      </c>
    </row>
    <row r="15" customFormat="false" ht="15" hidden="false" customHeight="true" outlineLevel="0" collapsed="false">
      <c r="A15" s="13" t="s">
        <v>51</v>
      </c>
      <c r="B15" s="13"/>
      <c r="C15" s="13"/>
    </row>
    <row r="16" customFormat="false" ht="15" hidden="false" customHeight="true" outlineLevel="0" collapsed="false">
      <c r="A16" s="6" t="s">
        <v>52</v>
      </c>
      <c r="B16" s="20" t="n">
        <v>0.14</v>
      </c>
      <c r="C16" s="16" t="s">
        <v>53</v>
      </c>
    </row>
    <row r="17" customFormat="false" ht="15" hidden="false" customHeight="true" outlineLevel="0" collapsed="false">
      <c r="A17" s="6" t="s">
        <v>54</v>
      </c>
      <c r="B17" s="20" t="n">
        <v>0.18</v>
      </c>
      <c r="C17" s="16" t="s">
        <v>55</v>
      </c>
    </row>
    <row r="18" customFormat="false" ht="15" hidden="false" customHeight="true" outlineLevel="0" collapsed="false">
      <c r="A18" s="6" t="s">
        <v>56</v>
      </c>
      <c r="B18" s="21" t="n">
        <f aca="false">0.6*B16+0.4*B17</f>
        <v>0.156</v>
      </c>
    </row>
    <row r="19" customFormat="false" ht="15" hidden="false" customHeight="true" outlineLevel="0" collapsed="false">
      <c r="A19" s="6" t="s">
        <v>57</v>
      </c>
      <c r="B19" s="20" t="n">
        <v>0.12</v>
      </c>
      <c r="C19" s="16" t="s">
        <v>58</v>
      </c>
    </row>
    <row r="20" customFormat="false" ht="15" hidden="false" customHeight="true" outlineLevel="0" collapsed="false">
      <c r="A20" s="6" t="s">
        <v>59</v>
      </c>
      <c r="B20" s="20" t="n">
        <v>0.6</v>
      </c>
      <c r="C20" s="16" t="s">
        <v>60</v>
      </c>
    </row>
    <row r="21" customFormat="false" ht="15" hidden="false" customHeight="true" outlineLevel="0" collapsed="false">
      <c r="A21" s="6" t="s">
        <v>61</v>
      </c>
      <c r="B21" s="20" t="n">
        <v>0.143</v>
      </c>
      <c r="C21" s="16" t="s">
        <v>62</v>
      </c>
    </row>
    <row r="22" customFormat="false" ht="15" hidden="false" customHeight="true" outlineLevel="0" collapsed="false">
      <c r="A22" s="6" t="s">
        <v>63</v>
      </c>
      <c r="B22" s="20" t="n">
        <v>0.22</v>
      </c>
      <c r="C22" s="16" t="s">
        <v>64</v>
      </c>
    </row>
    <row r="23" customFormat="false" ht="15" hidden="false" customHeight="true" outlineLevel="0" collapsed="false">
      <c r="A23" s="6" t="s">
        <v>65</v>
      </c>
      <c r="B23" s="20" t="n">
        <v>-0.03</v>
      </c>
      <c r="C23" s="16" t="s">
        <v>66</v>
      </c>
    </row>
    <row r="24" customFormat="false" ht="15" hidden="false" customHeight="true" outlineLevel="0" collapsed="false">
      <c r="A24" s="6" t="s">
        <v>67</v>
      </c>
      <c r="B24" s="20" t="n">
        <v>0.055</v>
      </c>
      <c r="C24" s="16" t="s">
        <v>68</v>
      </c>
    </row>
    <row r="25" customFormat="false" ht="15" hidden="false" customHeight="true" outlineLevel="0" collapsed="false">
      <c r="A25" s="6" t="s">
        <v>69</v>
      </c>
      <c r="B25" s="18" t="n">
        <v>216</v>
      </c>
      <c r="C25" s="16" t="s">
        <v>70</v>
      </c>
    </row>
    <row r="26" customFormat="false" ht="15" hidden="false" customHeight="true" outlineLevel="0" collapsed="false">
      <c r="A26" s="6" t="s">
        <v>71</v>
      </c>
      <c r="B26" s="18" t="n">
        <v>4659</v>
      </c>
      <c r="C26" s="16" t="s">
        <v>47</v>
      </c>
    </row>
    <row r="27" customFormat="false" ht="15" hidden="false" customHeight="true" outlineLevel="0" collapsed="false">
      <c r="A27" s="6" t="s">
        <v>46</v>
      </c>
      <c r="B27" s="18" t="n">
        <v>51621</v>
      </c>
      <c r="C27" s="16" t="s">
        <v>47</v>
      </c>
    </row>
    <row r="28" customFormat="false" ht="15" hidden="false" customHeight="true" outlineLevel="0" collapsed="false">
      <c r="A28" s="6" t="s">
        <v>72</v>
      </c>
      <c r="B28" s="18" t="n">
        <v>8500</v>
      </c>
      <c r="C28" s="16" t="s">
        <v>73</v>
      </c>
    </row>
  </sheetData>
  <mergeCells count="2">
    <mergeCell ref="A1:C1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3"/>
  </cols>
  <sheetData>
    <row r="1" customFormat="false" ht="15" hidden="false" customHeight="true" outlineLevel="0" collapsed="false">
      <c r="A1" s="13" t="s">
        <v>74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4"/>
      <c r="B2" s="22" t="s">
        <v>75</v>
      </c>
      <c r="C2" s="22" t="s">
        <v>76</v>
      </c>
      <c r="D2" s="22" t="s">
        <v>77</v>
      </c>
      <c r="E2" s="22" t="s">
        <v>78</v>
      </c>
      <c r="F2" s="22" t="s">
        <v>79</v>
      </c>
      <c r="G2" s="22" t="s">
        <v>80</v>
      </c>
    </row>
    <row r="3" customFormat="false" ht="15" hidden="false" customHeight="true" outlineLevel="0" collapsed="false">
      <c r="A3" s="23" t="s">
        <v>81</v>
      </c>
      <c r="B3" s="24" t="n">
        <v>11873</v>
      </c>
      <c r="C3" s="24" t="n">
        <v>12550</v>
      </c>
      <c r="D3" s="24" t="n">
        <v>17119</v>
      </c>
      <c r="E3" s="24" t="n">
        <v>20852</v>
      </c>
      <c r="F3" s="24" t="n">
        <v>26711</v>
      </c>
      <c r="G3" s="24" t="n">
        <v>30475</v>
      </c>
    </row>
    <row r="4" customFormat="false" ht="15" hidden="false" customHeight="true" outlineLevel="0" collapsed="false">
      <c r="A4" s="6" t="s">
        <v>82</v>
      </c>
      <c r="C4" s="25" t="n">
        <v>0.057</v>
      </c>
      <c r="D4" s="25" t="n">
        <v>0.364</v>
      </c>
      <c r="E4" s="25" t="n">
        <v>0.219</v>
      </c>
      <c r="F4" s="25" t="n">
        <v>0.281</v>
      </c>
      <c r="G4" s="25" t="n">
        <v>0.141</v>
      </c>
    </row>
    <row r="5" customFormat="false" ht="15" hidden="false" customHeight="true" outlineLevel="0" collapsed="false">
      <c r="A5" s="23" t="s">
        <v>83</v>
      </c>
      <c r="B5" s="24" t="n">
        <v>5926</v>
      </c>
      <c r="C5" s="24" t="n">
        <v>3862</v>
      </c>
      <c r="D5" s="24" t="n">
        <v>7591</v>
      </c>
      <c r="E5" s="24" t="n">
        <v>9905</v>
      </c>
      <c r="F5" s="24" t="n">
        <v>11121</v>
      </c>
      <c r="G5" s="24" t="n">
        <v>12335</v>
      </c>
    </row>
    <row r="6" customFormat="false" ht="15" hidden="false" customHeight="true" outlineLevel="0" collapsed="false">
      <c r="A6" s="26" t="s">
        <v>84</v>
      </c>
      <c r="B6" s="27" t="n">
        <v>5947</v>
      </c>
      <c r="C6" s="27" t="n">
        <v>8688</v>
      </c>
      <c r="D6" s="27" t="n">
        <v>9528</v>
      </c>
      <c r="E6" s="27" t="n">
        <v>10947</v>
      </c>
      <c r="F6" s="27" t="n">
        <v>15589</v>
      </c>
      <c r="G6" s="27" t="n">
        <v>18141</v>
      </c>
    </row>
    <row r="7" customFormat="false" ht="15" hidden="false" customHeight="true" outlineLevel="0" collapsed="false">
      <c r="A7" s="6" t="s">
        <v>85</v>
      </c>
      <c r="B7" s="21" t="n">
        <f aca="false">B6/B3</f>
        <v>0.500884359471069</v>
      </c>
      <c r="C7" s="21" t="n">
        <f aca="false">C6/C3</f>
        <v>0.692270916334661</v>
      </c>
      <c r="D7" s="21" t="n">
        <f aca="false">D6/D3</f>
        <v>0.556574566271394</v>
      </c>
      <c r="E7" s="21" t="n">
        <f aca="false">E6/E3</f>
        <v>0.52498561289085</v>
      </c>
      <c r="F7" s="21" t="n">
        <f aca="false">F6/F3</f>
        <v>0.583617236344577</v>
      </c>
      <c r="G7" s="21" t="n">
        <f aca="false">G6/G3</f>
        <v>0.595274815422477</v>
      </c>
    </row>
    <row r="8" customFormat="false" ht="15" hidden="false" customHeight="true" outlineLevel="0" collapsed="false">
      <c r="A8" s="23" t="s">
        <v>86</v>
      </c>
      <c r="B8" s="24" t="n">
        <v>1680</v>
      </c>
      <c r="C8" s="24" t="n">
        <v>2107</v>
      </c>
      <c r="D8" s="24" t="n">
        <v>3099</v>
      </c>
      <c r="E8" s="24" t="n">
        <v>3425</v>
      </c>
      <c r="F8" s="24" t="n">
        <v>3888</v>
      </c>
      <c r="G8" s="24" t="n">
        <v>4379</v>
      </c>
    </row>
    <row r="9" customFormat="false" ht="15" hidden="false" customHeight="true" outlineLevel="0" collapsed="false">
      <c r="A9" s="26" t="s">
        <v>87</v>
      </c>
      <c r="B9" s="27" t="n">
        <v>4267</v>
      </c>
      <c r="C9" s="27" t="n">
        <v>6581</v>
      </c>
      <c r="D9" s="27" t="n">
        <v>6429</v>
      </c>
      <c r="E9" s="27" t="n">
        <v>7522</v>
      </c>
      <c r="F9" s="27" t="n">
        <v>11701</v>
      </c>
      <c r="G9" s="27" t="n">
        <v>13762</v>
      </c>
    </row>
    <row r="10" customFormat="false" ht="15" hidden="false" customHeight="true" outlineLevel="0" collapsed="false">
      <c r="A10" s="6" t="s">
        <v>88</v>
      </c>
      <c r="B10" s="21" t="n">
        <f aca="false">B9/B3</f>
        <v>0.359386844100059</v>
      </c>
      <c r="C10" s="21" t="n">
        <f aca="false">C9/C3</f>
        <v>0.524382470119522</v>
      </c>
      <c r="D10" s="21" t="n">
        <f aca="false">D9/D3</f>
        <v>0.375547637128337</v>
      </c>
      <c r="E10" s="21" t="n">
        <f aca="false">E9/E3</f>
        <v>0.36073278342605</v>
      </c>
      <c r="F10" s="21" t="n">
        <f aca="false">F9/F3</f>
        <v>0.438059226535884</v>
      </c>
      <c r="G10" s="21" t="n">
        <f aca="false">G9/G3</f>
        <v>0.451583264971288</v>
      </c>
    </row>
    <row r="11" customFormat="false" ht="15" hidden="false" customHeight="true" outlineLevel="0" collapsed="false">
      <c r="A11" s="23" t="s">
        <v>89</v>
      </c>
      <c r="B11" s="24" t="n">
        <v>1951</v>
      </c>
      <c r="C11" s="24" t="n">
        <v>2255</v>
      </c>
      <c r="D11" s="24" t="n">
        <v>2544</v>
      </c>
      <c r="E11" s="24" t="n">
        <v>2363</v>
      </c>
      <c r="F11" s="24" t="n">
        <v>2733</v>
      </c>
      <c r="G11" s="24" t="n">
        <v>2532</v>
      </c>
    </row>
    <row r="12" customFormat="false" ht="15" hidden="false" customHeight="true" outlineLevel="0" collapsed="false">
      <c r="A12" s="23" t="s">
        <v>90</v>
      </c>
      <c r="B12" s="24" t="n">
        <v>1928</v>
      </c>
      <c r="C12" s="24" t="n">
        <v>1967</v>
      </c>
      <c r="D12" s="24" t="n">
        <v>1832</v>
      </c>
      <c r="E12" s="24" t="n">
        <v>327</v>
      </c>
      <c r="F12" s="24" t="n">
        <v>671</v>
      </c>
      <c r="G12" s="24" t="n">
        <v>1800</v>
      </c>
    </row>
    <row r="13" customFormat="false" ht="15" hidden="false" customHeight="true" outlineLevel="0" collapsed="false">
      <c r="A13" s="26" t="s">
        <v>91</v>
      </c>
      <c r="B13" s="27" t="n">
        <v>4244</v>
      </c>
      <c r="C13" s="27" t="n">
        <v>6292</v>
      </c>
      <c r="D13" s="27" t="n">
        <v>5717</v>
      </c>
      <c r="E13" s="27" t="n">
        <v>5487</v>
      </c>
      <c r="F13" s="27" t="n">
        <v>9639</v>
      </c>
      <c r="G13" s="27" t="n">
        <v>13030</v>
      </c>
    </row>
    <row r="14" customFormat="false" ht="15" hidden="false" customHeight="true" outlineLevel="0" collapsed="false">
      <c r="A14" s="23" t="s">
        <v>92</v>
      </c>
      <c r="B14" s="24" t="n">
        <v>459</v>
      </c>
      <c r="C14" s="24" t="n">
        <v>1243</v>
      </c>
      <c r="D14" s="24" t="n">
        <v>764</v>
      </c>
      <c r="E14" s="24" t="n">
        <v>96</v>
      </c>
      <c r="F14" s="24" t="n">
        <v>1535</v>
      </c>
      <c r="G14" s="24" t="n">
        <v>1969</v>
      </c>
    </row>
    <row r="15" customFormat="false" ht="15" hidden="false" customHeight="true" outlineLevel="0" collapsed="false">
      <c r="A15" s="26" t="s">
        <v>93</v>
      </c>
      <c r="B15" s="27" t="n">
        <v>3785</v>
      </c>
      <c r="C15" s="27" t="n">
        <v>5049</v>
      </c>
      <c r="D15" s="27" t="n">
        <v>4953</v>
      </c>
      <c r="E15" s="27" t="n">
        <v>5391</v>
      </c>
      <c r="F15" s="27" t="n">
        <v>8104</v>
      </c>
      <c r="G15" s="27" t="n">
        <v>11061</v>
      </c>
    </row>
    <row r="16" customFormat="false" ht="15" hidden="false" customHeight="true" outlineLevel="0" collapsed="false">
      <c r="A16" s="6" t="s">
        <v>94</v>
      </c>
      <c r="B16" s="21" t="n">
        <f aca="false">B15/B3</f>
        <v>0.318790533142424</v>
      </c>
      <c r="C16" s="21" t="n">
        <f aca="false">C15/C3</f>
        <v>0.402310756972112</v>
      </c>
      <c r="D16" s="21" t="n">
        <f aca="false">D15/D3</f>
        <v>0.28932764764297</v>
      </c>
      <c r="E16" s="21" t="n">
        <f aca="false">E15/E3</f>
        <v>0.25853635142912</v>
      </c>
      <c r="F16" s="21" t="n">
        <f aca="false">F15/F3</f>
        <v>0.303395604807008</v>
      </c>
      <c r="G16" s="21" t="n">
        <f aca="false">G15/G3</f>
        <v>0.362953240360952</v>
      </c>
    </row>
    <row r="18" customFormat="false" ht="15" hidden="false" customHeight="true" outlineLevel="0" collapsed="false">
      <c r="A18" s="13" t="s">
        <v>95</v>
      </c>
      <c r="B18" s="13"/>
      <c r="C18" s="13"/>
      <c r="D18" s="13"/>
      <c r="E18" s="13"/>
      <c r="F18" s="13"/>
      <c r="G18" s="13"/>
    </row>
    <row r="19" customFormat="false" ht="15" hidden="false" customHeight="true" outlineLevel="0" collapsed="false">
      <c r="A19" s="4"/>
      <c r="B19" s="22" t="s">
        <v>75</v>
      </c>
      <c r="C19" s="22" t="s">
        <v>76</v>
      </c>
      <c r="D19" s="22" t="s">
        <v>77</v>
      </c>
      <c r="E19" s="22" t="s">
        <v>78</v>
      </c>
      <c r="F19" s="22" t="s">
        <v>79</v>
      </c>
      <c r="G19" s="22" t="s">
        <v>80</v>
      </c>
    </row>
    <row r="20" customFormat="false" ht="15" hidden="false" customHeight="true" outlineLevel="0" collapsed="false">
      <c r="A20" s="6" t="s">
        <v>96</v>
      </c>
      <c r="B20" s="28" t="n">
        <v>18.52</v>
      </c>
      <c r="C20" s="28" t="n">
        <v>24.58</v>
      </c>
      <c r="D20" s="28" t="n">
        <v>23.13</v>
      </c>
      <c r="E20" s="28" t="n">
        <v>24.58</v>
      </c>
      <c r="F20" s="28" t="n">
        <v>37.55</v>
      </c>
      <c r="G20" s="28" t="n">
        <v>51.35</v>
      </c>
    </row>
    <row r="21" customFormat="false" ht="15" hidden="false" customHeight="true" outlineLevel="0" collapsed="false">
      <c r="A21" s="6" t="s">
        <v>97</v>
      </c>
      <c r="B21" s="20" t="n">
        <v>0.12</v>
      </c>
      <c r="C21" s="20" t="n">
        <v>0.14</v>
      </c>
      <c r="D21" s="20" t="n">
        <v>0.11</v>
      </c>
      <c r="E21" s="20" t="n">
        <v>0.1</v>
      </c>
      <c r="F21" s="20" t="n">
        <v>0.13</v>
      </c>
      <c r="G21" s="20" t="n">
        <v>0.14</v>
      </c>
    </row>
    <row r="22" customFormat="false" ht="15" hidden="false" customHeight="true" outlineLevel="0" collapsed="false">
      <c r="A22" s="6" t="s">
        <v>98</v>
      </c>
      <c r="B22" s="20" t="n">
        <v>0.15</v>
      </c>
      <c r="C22" s="20" t="n">
        <v>0.18</v>
      </c>
      <c r="D22" s="20" t="n">
        <v>0.13</v>
      </c>
      <c r="E22" s="20" t="n">
        <v>0.13</v>
      </c>
      <c r="F22" s="20" t="n">
        <v>0.18</v>
      </c>
      <c r="G22" s="20" t="n">
        <v>0.19</v>
      </c>
    </row>
    <row r="23" customFormat="false" ht="15" hidden="false" customHeight="true" outlineLevel="0" collapsed="false">
      <c r="A23" s="6" t="s">
        <v>99</v>
      </c>
      <c r="B23" s="28" t="n">
        <v>5.1</v>
      </c>
      <c r="C23" s="28" t="n">
        <v>4.1</v>
      </c>
      <c r="D23" s="28" t="n">
        <v>5</v>
      </c>
      <c r="E23" s="28" t="n">
        <v>4.9</v>
      </c>
      <c r="F23" s="28" t="n">
        <v>3.2</v>
      </c>
      <c r="G23" s="28" t="n">
        <v>2.8</v>
      </c>
    </row>
  </sheetData>
  <mergeCells count="2">
    <mergeCell ref="A1:G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3"/>
  </cols>
  <sheetData>
    <row r="1" customFormat="false" ht="15" hidden="false" customHeight="true" outlineLevel="0" collapsed="false">
      <c r="A1" s="13" t="s">
        <v>100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4"/>
      <c r="B2" s="22" t="s">
        <v>101</v>
      </c>
      <c r="C2" s="22" t="s">
        <v>102</v>
      </c>
      <c r="D2" s="22" t="s">
        <v>103</v>
      </c>
      <c r="E2" s="22" t="s">
        <v>104</v>
      </c>
      <c r="F2" s="22" t="s">
        <v>105</v>
      </c>
      <c r="G2" s="22" t="s">
        <v>106</v>
      </c>
    </row>
    <row r="3" customFormat="false" ht="15" hidden="false" customHeight="true" outlineLevel="0" collapsed="false">
      <c r="A3" s="14" t="s">
        <v>81</v>
      </c>
      <c r="B3" s="29" t="n">
        <f aca="false">'Income Stmt'!G3</f>
        <v>30475</v>
      </c>
      <c r="C3" s="25" t="n">
        <f aca="false">B3*(1+Assumptions!B18)</f>
        <v>35229.1</v>
      </c>
      <c r="D3" s="25" t="n">
        <f aca="false">C3*(1+Assumptions!B18)</f>
        <v>40724.8396</v>
      </c>
      <c r="E3" s="25" t="n">
        <f aca="false">D3*(1+Assumptions!B18)</f>
        <v>47077.9145776</v>
      </c>
      <c r="F3" s="25" t="n">
        <f aca="false">E3*(1+Assumptions!B19)</f>
        <v>52727.264326912</v>
      </c>
      <c r="G3" s="25" t="n">
        <f aca="false">F3*(1+Assumptions!B19)</f>
        <v>59054.5360461414</v>
      </c>
    </row>
    <row r="4" customFormat="false" ht="15" hidden="false" customHeight="true" outlineLevel="0" collapsed="false">
      <c r="A4" s="30" t="s">
        <v>82</v>
      </c>
      <c r="C4" s="21" t="n">
        <f aca="false">(C3-B3)/B3</f>
        <v>0.156</v>
      </c>
      <c r="D4" s="21" t="n">
        <f aca="false">(D3-C3)/C3</f>
        <v>0.156</v>
      </c>
      <c r="E4" s="21" t="n">
        <f aca="false">(E3-D3)/D3</f>
        <v>0.156</v>
      </c>
      <c r="F4" s="21" t="n">
        <f aca="false">(F3-E3)/E3</f>
        <v>0.12</v>
      </c>
      <c r="G4" s="21" t="n">
        <f aca="false">(G3-F3)/F3</f>
        <v>0.12</v>
      </c>
    </row>
    <row r="5" customFormat="false" ht="15" hidden="false" customHeight="true" outlineLevel="0" collapsed="false">
      <c r="A5" s="31" t="s">
        <v>84</v>
      </c>
      <c r="B5" s="32" t="n">
        <f aca="false">'Income Stmt'!G6</f>
        <v>18141</v>
      </c>
      <c r="C5" s="33" t="n">
        <f aca="false">C3*Assumptions!B20</f>
        <v>21137.46</v>
      </c>
      <c r="D5" s="33" t="n">
        <f aca="false">D3*Assumptions!B20</f>
        <v>24434.90376</v>
      </c>
      <c r="E5" s="33" t="n">
        <f aca="false">E3*Assumptions!B20</f>
        <v>28246.74874656</v>
      </c>
      <c r="F5" s="33" t="n">
        <f aca="false">F3*Assumptions!B20</f>
        <v>31636.3585961472</v>
      </c>
      <c r="G5" s="33" t="n">
        <f aca="false">G3*Assumptions!B20</f>
        <v>35432.7216276849</v>
      </c>
      <c r="I5" s="34" t="s">
        <v>107</v>
      </c>
    </row>
    <row r="6" customFormat="false" ht="15" hidden="false" customHeight="true" outlineLevel="0" collapsed="false">
      <c r="A6" s="30" t="s">
        <v>85</v>
      </c>
      <c r="B6" s="21" t="n">
        <f aca="false">B5/B3</f>
        <v>0.595274815422477</v>
      </c>
      <c r="C6" s="21" t="n">
        <f aca="false">C5/C3</f>
        <v>0.6</v>
      </c>
      <c r="D6" s="21" t="n">
        <f aca="false">D5/D3</f>
        <v>0.6</v>
      </c>
      <c r="E6" s="21" t="n">
        <f aca="false">E5/E3</f>
        <v>0.6</v>
      </c>
      <c r="F6" s="21" t="n">
        <f aca="false">F5/F3</f>
        <v>0.6</v>
      </c>
      <c r="G6" s="21" t="n">
        <f aca="false">G5/G3</f>
        <v>0.6</v>
      </c>
    </row>
    <row r="7" customFormat="false" ht="15" hidden="false" customHeight="true" outlineLevel="0" collapsed="false">
      <c r="A7" s="6" t="s">
        <v>86</v>
      </c>
      <c r="B7" s="29" t="n">
        <f aca="false">'Income Stmt'!G8</f>
        <v>4379</v>
      </c>
      <c r="C7" s="25" t="n">
        <f aca="false">C3*Assumptions!B21</f>
        <v>5037.7613</v>
      </c>
      <c r="D7" s="25" t="n">
        <f aca="false">D3*Assumptions!B21</f>
        <v>5823.6520628</v>
      </c>
      <c r="E7" s="25" t="n">
        <f aca="false">E3*Assumptions!B21</f>
        <v>6732.1417845968</v>
      </c>
      <c r="F7" s="25" t="n">
        <f aca="false">F3*Assumptions!B21</f>
        <v>7539.99879874841</v>
      </c>
      <c r="G7" s="25" t="n">
        <f aca="false">G3*Assumptions!B21</f>
        <v>8444.79865459822</v>
      </c>
      <c r="I7" s="34" t="s">
        <v>108</v>
      </c>
    </row>
    <row r="8" customFormat="false" ht="15" hidden="false" customHeight="true" outlineLevel="0" collapsed="false">
      <c r="A8" s="31" t="s">
        <v>87</v>
      </c>
      <c r="B8" s="33" t="n">
        <f aca="false">B5-B7</f>
        <v>13762</v>
      </c>
      <c r="C8" s="33" t="n">
        <f aca="false">C5-C7</f>
        <v>16099.6987</v>
      </c>
      <c r="D8" s="33" t="n">
        <f aca="false">D5-D7</f>
        <v>18611.2516972</v>
      </c>
      <c r="E8" s="33" t="n">
        <f aca="false">E5-E7</f>
        <v>21514.6069619632</v>
      </c>
      <c r="F8" s="33" t="n">
        <f aca="false">F5-F7</f>
        <v>24096.3597973988</v>
      </c>
      <c r="G8" s="33" t="n">
        <f aca="false">G5-G7</f>
        <v>26987.9229730866</v>
      </c>
    </row>
    <row r="9" customFormat="false" ht="15" hidden="false" customHeight="true" outlineLevel="0" collapsed="false">
      <c r="A9" s="30" t="s">
        <v>109</v>
      </c>
      <c r="B9" s="25" t="n">
        <f aca="false">B8*Assumptions!B7</f>
        <v>2064.3</v>
      </c>
      <c r="C9" s="25" t="n">
        <f aca="false">C8*Assumptions!B7</f>
        <v>2414.954805</v>
      </c>
      <c r="D9" s="25" t="n">
        <f aca="false">D8*Assumptions!B7</f>
        <v>2791.68775458</v>
      </c>
      <c r="E9" s="25" t="n">
        <f aca="false">E8*Assumptions!B7</f>
        <v>3227.19104429448</v>
      </c>
      <c r="F9" s="25" t="n">
        <f aca="false">F8*Assumptions!B7</f>
        <v>3614.45396960982</v>
      </c>
      <c r="G9" s="25" t="n">
        <f aca="false">G8*Assumptions!B7</f>
        <v>4048.18844596299</v>
      </c>
    </row>
    <row r="10" customFormat="false" ht="15" hidden="false" customHeight="true" outlineLevel="0" collapsed="false">
      <c r="A10" s="31" t="s">
        <v>110</v>
      </c>
      <c r="B10" s="33" t="n">
        <f aca="false">B8-B9</f>
        <v>11697.7</v>
      </c>
      <c r="C10" s="33" t="n">
        <f aca="false">C8-C9</f>
        <v>13684.743895</v>
      </c>
      <c r="D10" s="33" t="n">
        <f aca="false">D8-D9</f>
        <v>15819.56394262</v>
      </c>
      <c r="E10" s="33" t="n">
        <f aca="false">E8-E9</f>
        <v>18287.4159176687</v>
      </c>
      <c r="F10" s="33" t="n">
        <f aca="false">F8-F9</f>
        <v>20481.905827789</v>
      </c>
      <c r="G10" s="33" t="n">
        <f aca="false">G8-G9</f>
        <v>22939.7345271236</v>
      </c>
    </row>
    <row r="11" customFormat="false" ht="15" hidden="false" customHeight="true" outlineLevel="0" collapsed="false">
      <c r="A11" s="6" t="s">
        <v>111</v>
      </c>
      <c r="B11" s="35" t="n">
        <v>6000</v>
      </c>
      <c r="C11" s="25" t="n">
        <f aca="false">C3*Assumptions!B22</f>
        <v>7750.402</v>
      </c>
      <c r="D11" s="25" t="n">
        <f aca="false">D3*Assumptions!B22</f>
        <v>8959.464712</v>
      </c>
      <c r="E11" s="25" t="n">
        <f aca="false">E3*Assumptions!B22</f>
        <v>10357.141207072</v>
      </c>
      <c r="F11" s="25" t="n">
        <f aca="false">F3*Assumptions!B22</f>
        <v>11599.9981519206</v>
      </c>
      <c r="G11" s="25" t="n">
        <f aca="false">G3*Assumptions!B22</f>
        <v>12991.9979301511</v>
      </c>
      <c r="I11" s="34" t="s">
        <v>112</v>
      </c>
    </row>
    <row r="12" customFormat="false" ht="15" hidden="false" customHeight="true" outlineLevel="0" collapsed="false">
      <c r="A12" s="6" t="s">
        <v>113</v>
      </c>
      <c r="B12" s="35" t="n">
        <v>-500</v>
      </c>
      <c r="C12" s="25" t="n">
        <f aca="false">C3*Assumptions!B23</f>
        <v>-1056.873</v>
      </c>
      <c r="D12" s="25" t="n">
        <f aca="false">D3*Assumptions!B23</f>
        <v>-1221.745188</v>
      </c>
      <c r="E12" s="25" t="n">
        <f aca="false">E3*Assumptions!B23</f>
        <v>-1412.337437328</v>
      </c>
      <c r="F12" s="25" t="n">
        <f aca="false">F3*Assumptions!B23</f>
        <v>-1581.81792980736</v>
      </c>
      <c r="G12" s="25" t="n">
        <f aca="false">G3*Assumptions!B23</f>
        <v>-1771.63608138424</v>
      </c>
      <c r="I12" s="34" t="s">
        <v>114</v>
      </c>
    </row>
    <row r="13" customFormat="false" ht="15" hidden="false" customHeight="true" outlineLevel="0" collapsed="false">
      <c r="A13" s="36" t="s">
        <v>115</v>
      </c>
      <c r="B13" s="37" t="n">
        <f aca="false">B10+B7-B11-B12</f>
        <v>10576.7</v>
      </c>
      <c r="C13" s="37" t="n">
        <f aca="false">C10+C7-C11-C12</f>
        <v>12028.976195</v>
      </c>
      <c r="D13" s="37" t="n">
        <f aca="false">D10+D7-D11-D12</f>
        <v>13905.49648142</v>
      </c>
      <c r="E13" s="37" t="n">
        <f aca="false">E10+E7-E11-E12</f>
        <v>16074.7539325215</v>
      </c>
      <c r="F13" s="37" t="n">
        <f aca="false">F10+F7-F11-F12</f>
        <v>18003.7244044241</v>
      </c>
      <c r="G13" s="37" t="n">
        <f aca="false">G10+G7-G11-G12</f>
        <v>20164.171332955</v>
      </c>
    </row>
    <row r="15" customFormat="false" ht="3.75" hidden="false" customHeight="true" outlineLevel="0" collapsed="false"/>
    <row r="16" customFormat="false" ht="15" hidden="false" customHeight="true" outlineLevel="0" collapsed="false">
      <c r="A16" s="13" t="s">
        <v>116</v>
      </c>
      <c r="B16" s="13"/>
      <c r="C16" s="13"/>
      <c r="D16" s="13"/>
      <c r="E16" s="13"/>
      <c r="F16" s="13"/>
      <c r="G16" s="13"/>
    </row>
    <row r="17" customFormat="false" ht="15" hidden="false" customHeight="true" outlineLevel="0" collapsed="false">
      <c r="A17" s="6" t="s">
        <v>117</v>
      </c>
      <c r="C17" s="38" t="n">
        <v>0.5</v>
      </c>
      <c r="D17" s="38" t="n">
        <v>1.5</v>
      </c>
      <c r="E17" s="38" t="n">
        <v>2.5</v>
      </c>
      <c r="F17" s="38" t="n">
        <v>3.5</v>
      </c>
      <c r="G17" s="38" t="n">
        <v>4.5</v>
      </c>
    </row>
    <row r="18" customFormat="false" ht="15" hidden="false" customHeight="true" outlineLevel="0" collapsed="false">
      <c r="A18" s="6" t="s">
        <v>118</v>
      </c>
      <c r="C18" s="39" t="n">
        <f aca="false">1/((1+Assumptions!B13)^C17)</f>
        <v>0.947117435374813</v>
      </c>
      <c r="D18" s="39" t="n">
        <f aca="false">1/((1+Assumptions!B13)^D17)</f>
        <v>0.849594113485192</v>
      </c>
      <c r="E18" s="39" t="n">
        <f aca="false">1/((1+Assumptions!B13)^E17)</f>
        <v>0.762112627968928</v>
      </c>
      <c r="F18" s="39" t="n">
        <f aca="false">1/((1+Assumptions!B13)^F17)</f>
        <v>0.683638985358659</v>
      </c>
      <c r="G18" s="39" t="n">
        <f aca="false">1/((1+Assumptions!B13)^G17)</f>
        <v>0.613245661009138</v>
      </c>
    </row>
    <row r="19" customFormat="false" ht="15" hidden="false" customHeight="true" outlineLevel="0" collapsed="false">
      <c r="A19" s="40" t="s">
        <v>119</v>
      </c>
      <c r="C19" s="33" t="n">
        <f aca="false">C13*C18</f>
        <v>11392.8530839931</v>
      </c>
      <c r="D19" s="33" t="n">
        <f aca="false">D13*D18</f>
        <v>11814.0279557035</v>
      </c>
      <c r="E19" s="33" t="n">
        <f aca="false">E13*E18</f>
        <v>12250.7729634678</v>
      </c>
      <c r="F19" s="33" t="n">
        <f aca="false">F13*F18</f>
        <v>12308.0478845174</v>
      </c>
      <c r="G19" s="33" t="n">
        <f aca="false">G13*G18</f>
        <v>12365.5905777795</v>
      </c>
    </row>
    <row r="21" customFormat="false" ht="15" hidden="false" customHeight="true" outlineLevel="0" collapsed="false">
      <c r="A21" s="14" t="s">
        <v>120</v>
      </c>
      <c r="B21" s="25" t="n">
        <f aca="false">(G13*(1+Assumptions!B24))/(Assumptions!B13-Assumptions!B24)</f>
        <v>355809.753119036</v>
      </c>
    </row>
    <row r="22" customFormat="false" ht="15" hidden="false" customHeight="true" outlineLevel="0" collapsed="false">
      <c r="A22" s="14" t="s">
        <v>121</v>
      </c>
      <c r="B22" s="25" t="n">
        <f aca="false">B21/(1+Assumptions!B13)^5</f>
        <v>206659.875777361</v>
      </c>
      <c r="I22" s="34" t="s">
        <v>122</v>
      </c>
    </row>
    <row r="23" customFormat="false" ht="15" hidden="false" customHeight="true" outlineLevel="0" collapsed="false">
      <c r="A23" s="6" t="s">
        <v>123</v>
      </c>
      <c r="B23" s="25" t="n">
        <f aca="false">SUM(C19:G19)</f>
        <v>60131.2924654613</v>
      </c>
    </row>
    <row r="24" customFormat="false" ht="15" hidden="false" customHeight="true" outlineLevel="0" collapsed="false">
      <c r="A24" s="36" t="s">
        <v>124</v>
      </c>
      <c r="B24" s="37" t="n">
        <f aca="false">B22+B23</f>
        <v>266791.168242822</v>
      </c>
    </row>
    <row r="25" customFormat="false" ht="15" hidden="false" customHeight="true" outlineLevel="0" collapsed="false">
      <c r="A25" s="6" t="s">
        <v>125</v>
      </c>
      <c r="B25" s="29" t="n">
        <f aca="false">Assumptions!B26</f>
        <v>4659</v>
      </c>
    </row>
    <row r="26" customFormat="false" ht="15" hidden="false" customHeight="true" outlineLevel="0" collapsed="false">
      <c r="A26" s="6" t="s">
        <v>126</v>
      </c>
      <c r="B26" s="29" t="n">
        <f aca="false">Assumptions!B27</f>
        <v>51621</v>
      </c>
    </row>
    <row r="27" customFormat="false" ht="15" hidden="false" customHeight="true" outlineLevel="0" collapsed="false">
      <c r="A27" s="6" t="s">
        <v>127</v>
      </c>
      <c r="B27" s="29" t="n">
        <f aca="false">Assumptions!B28</f>
        <v>8500</v>
      </c>
    </row>
    <row r="28" customFormat="false" ht="15" hidden="false" customHeight="true" outlineLevel="0" collapsed="false">
      <c r="A28" s="36" t="s">
        <v>128</v>
      </c>
      <c r="B28" s="37" t="n">
        <f aca="false">B24+B25-B26-B27</f>
        <v>211329.168242822</v>
      </c>
    </row>
    <row r="29" customFormat="false" ht="15" hidden="false" customHeight="true" outlineLevel="0" collapsed="false">
      <c r="A29" s="6" t="s">
        <v>69</v>
      </c>
      <c r="B29" s="41" t="n">
        <f aca="false">Assumptions!B25</f>
        <v>216</v>
      </c>
    </row>
    <row r="30" customFormat="false" ht="15" hidden="false" customHeight="true" outlineLevel="0" collapsed="false">
      <c r="A30" s="42" t="s">
        <v>129</v>
      </c>
      <c r="B30" s="43" t="n">
        <f aca="false">B28/B29</f>
        <v>978.375778901955</v>
      </c>
    </row>
    <row r="31" customFormat="false" ht="15" hidden="false" customHeight="true" outlineLevel="0" collapsed="false">
      <c r="A31" s="6" t="s">
        <v>130</v>
      </c>
      <c r="B31" s="44" t="n">
        <v>1344</v>
      </c>
    </row>
    <row r="32" customFormat="false" ht="15" hidden="false" customHeight="true" outlineLevel="0" collapsed="false">
      <c r="A32" s="14" t="s">
        <v>131</v>
      </c>
      <c r="B32" s="45" t="n">
        <f aca="false">(B30-B31)/B31</f>
        <v>-0.27204183117414</v>
      </c>
    </row>
  </sheetData>
  <mergeCells count="2">
    <mergeCell ref="A1:G1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</cols>
  <sheetData>
    <row r="1" customFormat="false" ht="15" hidden="false" customHeight="true" outlineLevel="0" collapsed="false">
      <c r="A1" s="13" t="s">
        <v>132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46" t="s">
        <v>133</v>
      </c>
      <c r="C2" s="22" t="s">
        <v>134</v>
      </c>
      <c r="D2" s="22" t="s">
        <v>135</v>
      </c>
      <c r="E2" s="22" t="s">
        <v>136</v>
      </c>
      <c r="F2" s="22" t="s">
        <v>137</v>
      </c>
      <c r="G2" s="22" t="s">
        <v>138</v>
      </c>
    </row>
    <row r="3" customFormat="false" ht="15" hidden="false" customHeight="true" outlineLevel="0" collapsed="false">
      <c r="A3" s="46"/>
    </row>
    <row r="4" customFormat="false" ht="15" hidden="false" customHeight="true" outlineLevel="0" collapsed="false">
      <c r="A4" s="47" t="s">
        <v>139</v>
      </c>
      <c r="C4" s="48" t="n">
        <f aca="false">(DCF!C13/(1+0.09)^0.5+DCF!D13/(1+0.09)^1.5+DCF!E13/(1+0.09)^2.5+DCF!F13/(1+0.09)^3.5+DCF!G13/(1+0.09)^4.5+(DCF!G13*(1+0.045)/(0.09-0.045))/(1+0.09)^5+Assumptions!B26-Assumptions!B27-Assumptions!B28)/Assumptions!B25</f>
        <v>1447.08911834755</v>
      </c>
      <c r="D4" s="48" t="n">
        <f aca="false">(DCF!C13/(1+0.09)^0.5+DCF!D13/(1+0.09)^1.5+DCF!E13/(1+0.09)^2.5+DCF!F13/(1+0.09)^3.5+DCF!G13/(1+0.09)^4.5+(DCF!G13*(1+0.05)/(0.09-0.05))/(1+0.09)^5+Assumptions!B26-Assumptions!B27-Assumptions!B28)/Assumptions!B25</f>
        <v>1630.79291634785</v>
      </c>
      <c r="E4" s="48" t="n">
        <f aca="false">(DCF!C13/(1+0.09)^0.5+DCF!D13/(1+0.09)^1.5+DCF!E13/(1+0.09)^2.5+DCF!F13/(1+0.09)^3.5+DCF!G13/(1+0.09)^4.5+(DCF!G13*(1+0.055)/(0.09-0.055))/(1+0.09)^5+Assumptions!B26-Assumptions!B27-Assumptions!B28)/Assumptions!B25</f>
        <v>1866.98351377681</v>
      </c>
      <c r="F4" s="48" t="n">
        <f aca="false">(DCF!C13/(1+0.09)^0.5+DCF!D13/(1+0.09)^1.5+DCF!E13/(1+0.09)^2.5+DCF!F13/(1+0.09)^3.5+DCF!G13/(1+0.09)^4.5+(DCF!G13*(1+0.06)/(0.09-0.06))/(1+0.09)^5+Assumptions!B26-Assumptions!B27-Assumptions!B28)/Assumptions!B25</f>
        <v>2181.90431034876</v>
      </c>
      <c r="G4" s="48" t="n">
        <f aca="false">(DCF!C13/(1+0.09)^0.5+DCF!D13/(1+0.09)^1.5+DCF!E13/(1+0.09)^2.5+DCF!F13/(1+0.09)^3.5+DCF!G13/(1+0.09)^4.5+(DCF!G13*(1+0.065)/(0.09-0.065))/(1+0.09)^5+Assumptions!B26-Assumptions!B27-Assumptions!B28)/Assumptions!B25</f>
        <v>2622.79342554948</v>
      </c>
    </row>
    <row r="5" customFormat="false" ht="15" hidden="false" customHeight="true" outlineLevel="0" collapsed="false">
      <c r="A5" s="47" t="s">
        <v>140</v>
      </c>
      <c r="C5" s="48" t="n">
        <f aca="false">(DCF!C13/(1+0.095)^0.5+DCF!D13/(1+0.095)^1.5+DCF!E13/(1+0.095)^2.5+DCF!F13/(1+0.095)^3.5+DCF!G13/(1+0.095)^4.5+(DCF!G13*(1+0.045)/(0.095-0.045))/(1+0.095)^5+Assumptions!B26-Assumptions!B27-Assumptions!B28)/Assumptions!B25</f>
        <v>1274.04301349455</v>
      </c>
      <c r="D5" s="48" t="n">
        <f aca="false">(DCF!C13/(1+0.095)^0.5+DCF!D13/(1+0.095)^1.5+DCF!E13/(1+0.095)^2.5+DCF!F13/(1+0.095)^3.5+DCF!G13/(1+0.095)^4.5+(DCF!G13*(1+0.05)/(0.095-0.05))/(1+0.095)^5+Assumptions!B26-Assumptions!B27-Assumptions!B28)/Assumptions!B25</f>
        <v>1418.34012489993</v>
      </c>
      <c r="E5" s="48" t="n">
        <f aca="false">(DCF!C13/(1+0.095)^0.5+DCF!D13/(1+0.095)^1.5+DCF!E13/(1+0.095)^2.5+DCF!F13/(1+0.095)^3.5+DCF!G13/(1+0.095)^4.5+(DCF!G13*(1+0.055)/(0.095-0.055))/(1+0.095)^5+Assumptions!B26-Assumptions!B27-Assumptions!B28)/Assumptions!B25</f>
        <v>1598.71151415666</v>
      </c>
      <c r="F5" s="48" t="n">
        <f aca="false">(DCF!C13/(1+0.095)^0.5+DCF!D13/(1+0.095)^1.5+DCF!E13/(1+0.095)^2.5+DCF!F13/(1+0.095)^3.5+DCF!G13/(1+0.095)^4.5+(DCF!G13*(1+0.06)/(0.095-0.06))/(1+0.095)^5+Assumptions!B26-Assumptions!B27-Assumptions!B28)/Assumptions!B25</f>
        <v>1830.61758605816</v>
      </c>
      <c r="G5" s="48" t="n">
        <f aca="false">(DCF!C13/(1+0.095)^0.5+DCF!D13/(1+0.095)^1.5+DCF!E13/(1+0.095)^2.5+DCF!F13/(1+0.095)^3.5+DCF!G13/(1+0.095)^4.5+(DCF!G13*(1+0.065)/(0.095-0.065))/(1+0.095)^5+Assumptions!B26-Assumptions!B27-Assumptions!B28)/Assumptions!B25</f>
        <v>2139.82568192684</v>
      </c>
    </row>
    <row r="6" customFormat="false" ht="15" hidden="false" customHeight="true" outlineLevel="0" collapsed="false">
      <c r="A6" s="47" t="s">
        <v>141</v>
      </c>
      <c r="C6" s="48" t="n">
        <f aca="false">(DCF!C13/(1+0.1)^0.5+DCF!D13/(1+0.1)^1.5+DCF!E13/(1+0.1)^2.5+DCF!F13/(1+0.1)^3.5+DCF!G13/(1+0.1)^4.5+(DCF!G13*(1+0.045)/(0.1-0.045))/(1+0.1)^5+Assumptions!B26-Assumptions!B27-Assumptions!B28)/Assumptions!B25</f>
        <v>1132.60314449008</v>
      </c>
      <c r="D6" s="48" t="n">
        <f aca="false">(DCF!C13/(1+0.1)^0.5+DCF!D13/(1+0.1)^1.5+DCF!E13/(1+0.1)^2.5+DCF!F13/(1+0.1)^3.5+DCF!G13/(1+0.1)^4.5+(DCF!G13*(1+0.05)/(0.1-0.05))/(1+0.1)^5+Assumptions!B26-Assumptions!B27-Assumptions!B28)/Assumptions!B25</f>
        <v>1248.5324402535</v>
      </c>
      <c r="E6" s="49" t="n">
        <f aca="false">(DCF!C13/(1+0.1)^0.5+DCF!D13/(1+0.1)^1.5+DCF!E13/(1+0.1)^2.5+DCF!F13/(1+0.1)^3.5+DCF!G13/(1+0.1)^4.5+(DCF!G13*(1+0.055)/(0.1-0.055))/(1+0.1)^5+Assumptions!B26-Assumptions!B27-Assumptions!B28)/Assumptions!B25</f>
        <v>1390.22380174213</v>
      </c>
      <c r="F6" s="48" t="n">
        <f aca="false">(DCF!C13/(1+0.1)^0.5+DCF!D13/(1+0.1)^1.5+DCF!E13/(1+0.1)^2.5+DCF!F13/(1+0.1)^3.5+DCF!G13/(1+0.1)^4.5+(DCF!G13*(1+0.06)/(0.1-0.06))/(1+0.1)^5+Assumptions!B26-Assumptions!B27-Assumptions!B28)/Assumptions!B25</f>
        <v>1567.33800360292</v>
      </c>
      <c r="G6" s="48" t="n">
        <f aca="false">(DCF!C13/(1+0.1)^0.5+DCF!D13/(1+0.1)^1.5+DCF!E13/(1+0.1)^2.5+DCF!F13/(1+0.1)^3.5+DCF!G13/(1+0.1)^4.5+(DCF!G13*(1+0.065)/(0.1-0.065))/(1+0.1)^5+Assumptions!B26-Assumptions!B27-Assumptions!B28)/Assumptions!B25</f>
        <v>1795.05626313822</v>
      </c>
    </row>
    <row r="7" customFormat="false" ht="15" hidden="false" customHeight="true" outlineLevel="0" collapsed="false">
      <c r="A7" s="47" t="s">
        <v>142</v>
      </c>
      <c r="C7" s="48" t="n">
        <f aca="false">(DCF!C13/(1+0.105)^0.5+DCF!D13/(1+0.105)^1.5+DCF!E13/(1+0.105)^2.5+DCF!F13/(1+0.105)^3.5+DCF!G13/(1+0.105)^4.5+(DCF!G13*(1+0.045)/(0.105-0.045))/(1+0.105)^5+Assumptions!B26-Assumptions!B27-Assumptions!B28)/Assumptions!B25</f>
        <v>1014.86294540403</v>
      </c>
      <c r="D7" s="48" t="n">
        <f aca="false">(DCF!C13/(1+0.105)^0.5+DCF!D13/(1+0.105)^1.5+DCF!E13/(1+0.105)^2.5+DCF!F13/(1+0.105)^3.5+DCF!G13/(1+0.105)^4.5+(DCF!G13*(1+0.05)/(0.105-0.05))/(1+0.105)^5+Assumptions!B26-Assumptions!B27-Assumptions!B28)/Assumptions!B25</f>
        <v>1109.73396764639</v>
      </c>
      <c r="E7" s="48" t="n">
        <f aca="false">(DCF!C13/(1+0.105)^0.5+DCF!D13/(1+0.105)^1.5+DCF!E13/(1+0.105)^2.5+DCF!F13/(1+0.105)^3.5+DCF!G13/(1+0.105)^4.5+(DCF!G13*(1+0.055)/(0.105-0.055))/(1+0.105)^5+Assumptions!B26-Assumptions!B27-Assumptions!B28)/Assumptions!B25</f>
        <v>1223.57919433723</v>
      </c>
      <c r="F7" s="48" t="n">
        <f aca="false">(DCF!C13/(1+0.105)^0.5+DCF!D13/(1+0.105)^1.5+DCF!E13/(1+0.105)^2.5+DCF!F13/(1+0.105)^3.5+DCF!G13/(1+0.105)^4.5+(DCF!G13*(1+0.06)/(0.105-0.06))/(1+0.105)^5+Assumptions!B26-Assumptions!B27-Assumptions!B28)/Assumptions!B25</f>
        <v>1362.72336029269</v>
      </c>
      <c r="G7" s="48" t="n">
        <f aca="false">(DCF!C13/(1+0.105)^0.5+DCF!D13/(1+0.105)^1.5+DCF!E13/(1+0.105)^2.5+DCF!F13/(1+0.105)^3.5+DCF!G13/(1+0.105)^4.5+(DCF!G13*(1+0.065)/(0.105-0.065))/(1+0.105)^5+Assumptions!B26-Assumptions!B27-Assumptions!B28)/Assumptions!B25</f>
        <v>1536.65356773702</v>
      </c>
    </row>
    <row r="8" customFormat="false" ht="15" hidden="false" customHeight="true" outlineLevel="0" collapsed="false">
      <c r="A8" s="47" t="s">
        <v>143</v>
      </c>
      <c r="C8" s="48" t="n">
        <f aca="false">(DCF!C13/(1+0.11)^0.5+DCF!D13/(1+0.11)^1.5+DCF!E13/(1+0.11)^2.5+DCF!F13/(1+0.11)^3.5+DCF!G13/(1+0.11)^4.5+(DCF!G13*(1+0.045)/(0.11-0.045))/(1+0.11)^5+Assumptions!B26-Assumptions!B27-Assumptions!B28)/Assumptions!B25</f>
        <v>915.348829917876</v>
      </c>
      <c r="D8" s="48" t="n">
        <f aca="false">(DCF!C13/(1+0.11)^0.5+DCF!D13/(1+0.11)^1.5+DCF!E13/(1+0.11)^2.5+DCF!F13/(1+0.11)^3.5+DCF!G13/(1+0.11)^4.5+(DCF!G13*(1+0.05)/(0.11-0.05))/(1+0.11)^5+Assumptions!B26-Assumptions!B27-Assumptions!B28)/Assumptions!B25</f>
        <v>994.18764891707</v>
      </c>
      <c r="E8" s="48" t="n">
        <f aca="false">(DCF!C13/(1+0.11)^0.5+DCF!D13/(1+0.11)^1.5+DCF!E13/(1+0.11)^2.5+DCF!F13/(1+0.11)^3.5+DCF!G13/(1+0.11)^4.5+(DCF!G13*(1+0.055)/(0.11-0.055))/(1+0.11)^5+Assumptions!B26-Assumptions!B27-Assumptions!B28)/Assumptions!B25</f>
        <v>1087.36079864339</v>
      </c>
      <c r="F8" s="48" t="n">
        <f aca="false">(DCF!C13/(1+0.11)^0.5+DCF!D13/(1+0.11)^1.5+DCF!E13/(1+0.11)^2.5+DCF!F13/(1+0.11)^3.5+DCF!G13/(1+0.11)^4.5+(DCF!G13*(1+0.06)/(0.11-0.06))/(1+0.11)^5+Assumptions!B26-Assumptions!B27-Assumptions!B28)/Assumptions!B25</f>
        <v>1199.16857831497</v>
      </c>
      <c r="G8" s="48" t="n">
        <f aca="false">(DCF!C13/(1+0.11)^0.5+DCF!D13/(1+0.11)^1.5+DCF!E13/(1+0.11)^2.5+DCF!F13/(1+0.11)^3.5+DCF!G13/(1+0.11)^4.5+(DCF!G13*(1+0.065)/(0.11-0.065))/(1+0.11)^5+Assumptions!B26-Assumptions!B27-Assumptions!B28)/Assumptions!B25</f>
        <v>1335.82253124691</v>
      </c>
    </row>
    <row r="9" customFormat="false" ht="15" hidden="false" customHeight="false" outlineLevel="0" collapsed="false">
      <c r="A9" s="1" t="s">
        <v>144</v>
      </c>
      <c r="C9" s="34" t="n">
        <f aca="false">(DCF!C13/(1+0.115)^0.5+DCF!D13/(1+0.115)^1.5+DCF!E13/(1+0.115)^2.5+DCF!F13/(1+0.115)^3.5+DCF!G13/(1+0.115)^4.5+(DCF!G13*(1+0.045)/(0.115-0.045))/(1+0.115)^5+Assumptions!B26-Assumptions!B27-Assumptions!B28)/Assumptions!B25</f>
        <v>830.151262150703</v>
      </c>
      <c r="D9" s="34" t="n">
        <f aca="false">(DCF!C13/(1+0.115)^0.5+DCF!D13/(1+0.115)^1.5+DCF!E13/(1+0.115)^2.5+DCF!F13/(1+0.115)^3.5+DCF!G13/(1+0.115)^4.5+(DCF!G13*(1+0.05)/(0.115-0.05))/(1+0.115)^5+Assumptions!B26-Assumptions!B27-Assumptions!B28)/Assumptions!B25</f>
        <v>896.523393798183</v>
      </c>
      <c r="E9" s="50" t="n">
        <f aca="false">(DCF!C13/(1+0.115)^0.5+DCF!D13/(1+0.115)^1.5+DCF!E13/(1+0.115)^2.5+DCF!F13/(1+0.115)^3.5+DCF!G13/(1+0.115)^4.5+(DCF!G13*(1+0.055)/(0.115-0.055))/(1+0.115)^5+Assumptions!B26-Assumptions!B27-Assumptions!B28)/Assumptions!B25</f>
        <v>973.957547386909</v>
      </c>
      <c r="F9" s="34" t="n">
        <f aca="false">(DCF!C13/(1+0.115)^0.5+DCF!D13/(1+0.115)^1.5+DCF!E13/(1+0.115)^2.5+DCF!F13/(1+0.115)^3.5+DCF!G13/(1+0.115)^4.5+(DCF!G13*(1+0.06)/(0.115-0.06))/(1+0.115)^5+Assumptions!B26-Assumptions!B27-Assumptions!B28)/Assumptions!B25</f>
        <v>1065.47063799177</v>
      </c>
      <c r="G9" s="34" t="n">
        <f aca="false">(DCF!C13/(1+0.115)^0.5+DCF!D13/(1+0.115)^1.5+DCF!E13/(1+0.115)^2.5+DCF!F13/(1+0.115)^3.5+DCF!G13/(1+0.115)^4.5+(DCF!G13*(1+0.065)/(0.115-0.065))/(1+0.115)^5+Assumptions!B26-Assumptions!B27-Assumptions!B28)/Assumptions!B25</f>
        <v>1175.2863467176</v>
      </c>
    </row>
    <row r="10" customFormat="false" ht="15" hidden="false" customHeight="true" outlineLevel="0" collapsed="false">
      <c r="A10" s="51" t="s">
        <v>145</v>
      </c>
      <c r="B10" s="51"/>
      <c r="C10" s="51"/>
      <c r="D10" s="51"/>
      <c r="E10" s="51"/>
      <c r="F10" s="51"/>
      <c r="G10" s="51"/>
      <c r="H10" s="51"/>
    </row>
    <row r="11" customFormat="false" ht="15" hidden="false" customHeight="false" outlineLevel="0" collapsed="false">
      <c r="A11" s="1" t="s">
        <v>146</v>
      </c>
      <c r="C11" s="34" t="n">
        <f aca="false">(DCF!C13/(1+0.12)^0.5+DCF!D13/(1+0.12)^1.5+DCF!E13/(1+0.12)^2.5+DCF!F13/(1+0.12)^3.5+DCF!G13/(1+0.12)^4.5+(DCF!G13*(1+0.045)/(0.12-0.045))/(1+0.12)^5+Assumptions!B26-Assumptions!B27-Assumptions!B28)/Assumptions!B25</f>
        <v>756.403399510596</v>
      </c>
      <c r="D11" s="34" t="n">
        <f aca="false">(DCF!C13/(1+0.12)^0.5+DCF!D13/(1+0.12)^1.5+DCF!E13/(1+0.12)^2.5+DCF!F13/(1+0.12)^3.5+DCF!G13/(1+0.12)^4.5+(DCF!G13*(1+0.05)/(0.12-0.05))/(1+0.12)^5+Assumptions!B26-Assumptions!B27-Assumptions!B28)/Assumptions!B25</f>
        <v>812.905583893953</v>
      </c>
      <c r="E11" s="34" t="n">
        <f aca="false">(DCF!C13/(1+0.12)^0.5+DCF!D13/(1+0.12)^1.5+DCF!E13/(1+0.12)^2.5+DCF!F13/(1+0.12)^3.5+DCF!G13/(1+0.12)^4.5+(DCF!G13*(1+0.055)/(0.12-0.055))/(1+0.12)^5+Assumptions!B26-Assumptions!B27-Assumptions!B28)/Assumptions!B25</f>
        <v>878.100412028595</v>
      </c>
      <c r="F11" s="34" t="n">
        <f aca="false">(DCF!C13/(1+0.12)^0.5+DCF!D13/(1+0.12)^1.5+DCF!E13/(1+0.12)^2.5+DCF!F13/(1+0.12)^3.5+DCF!G13/(1+0.12)^4.5+(DCF!G13*(1+0.06)/(0.12-0.06))/(1+0.12)^5+Assumptions!B26-Assumptions!B27-Assumptions!B28)/Assumptions!B25</f>
        <v>954.161044852345</v>
      </c>
      <c r="G11" s="34" t="n">
        <f aca="false">(DCF!C13/(1+0.12)^0.5+DCF!D13/(1+0.12)^1.5+DCF!E13/(1+0.12)^2.5+DCF!F13/(1+0.12)^3.5+DCF!G13/(1+0.12)^4.5+(DCF!G13*(1+0.065)/(0.12-0.065))/(1+0.12)^5+Assumptions!B26-Assumptions!B27-Assumptions!B28)/Assumptions!B25</f>
        <v>1044.05088364405</v>
      </c>
    </row>
  </sheetData>
  <mergeCells count="3">
    <mergeCell ref="A1:H1"/>
    <mergeCell ref="A2:A3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2026-05-13T02:26:00Z</dcterms:created>
  <dc:creator>openpyxl</dc:creator>
  <dc:description/>
  <dc:language>en-US</dc:language>
  <cp:lastModifiedBy/>
  <dcterms:modified xsi:type="dcterms:W3CDTF">2026-05-13T05:13:27Z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